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4ec62c68e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plan" sheetId="1" r:id="R9a7e2b522cee4a04"/>
    <x:sheet xmlns:r="http://schemas.openxmlformats.org/officeDocument/2006/relationships" name="Backlog" sheetId="2" r:id="R631b575bba7c4a21"/>
    <x:sheet xmlns:r="http://schemas.openxmlformats.org/officeDocument/2006/relationships" name="Actual checkpoints" sheetId="3" r:id="R9cb6d6f14f7f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5">
    <x:font>
      <x:sz val="11"/>
      <x:name val="Carlito"/>
    </x:font>
    <x:font>
      <x:sz val="11"/>
      <x:name val="Arial"/>
    </x:font>
    <x:font>
      <x:b/>
      <x:sz val="20"/>
      <x:color rgb="FF163C33"/>
      <x:name val="Arial"/>
    </x:font>
    <x:font>
      <x:b/>
      <x:sz val="11"/>
      <x:color rgb="FFFFFFFF"/>
      <x:name val="Arial"/>
    </x:font>
    <x:font>
      <x:sz val="11"/>
      <x:color rgb="FF245DB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5C4A"/>
      </x:patternFill>
    </x:fill>
  </x:fills>
  <x:borders count="2">
    <x:border>
      <x:left/>
      <x:right/>
      <x:top/>
      <x:bottom/>
      <x:diagonal/>
    </x:border>
    <x:border>
      <x:left style="thin">
        <x:color rgb="FFD9E2DC"/>
      </x:left>
      <x:right style="thin">
        <x:color rgb="FFD9E2DC"/>
      </x:right>
      <x:top style="thin">
        <x:color rgb="FFD9E2DC"/>
      </x:top>
      <x:bottom style="thin">
        <x:color rgb="FFD9E2DC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2435d64834dc8" /><Relationship Type="http://schemas.openxmlformats.org/officeDocument/2006/relationships/theme" Target="/xl/theme/theme1.xml" Id="Re56db5c0637349aa" /><Relationship Type="http://schemas.openxmlformats.org/officeDocument/2006/relationships/sharedStrings" Target="/xl/sharedStrings.xml" Id="Rcc74df6ab8ee4062" /><Relationship Type="http://schemas.openxmlformats.org/officeDocument/2006/relationships/worksheet" Target="/xl/worksheets/sheet1.xml" Id="R9a7e2b522cee4a04" /><Relationship Type="http://schemas.openxmlformats.org/officeDocument/2006/relationships/worksheet" Target="/xl/worksheets/sheet2.xml" Id="R631b575bba7c4a21" /><Relationship Type="http://schemas.openxmlformats.org/officeDocument/2006/relationships/worksheet" Target="/xl/worksheets/sheet3.xml" Id="R9cb6d6f14f7f4a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deb838e4c744b1" /><Relationship Type="http://schemas.openxmlformats.org/officeDocument/2006/relationships/chart" Target="/xl/drawings/charts/chart2.xml" Id="R58f70d883b624dfe" /><Relationship Type="http://schemas.openxmlformats.org/officeDocument/2006/relationships/chart" Target="/xl/drawings/charts/chart3.xml" Id="R8530b65c93504d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d0dd464b9194d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Sprint 1 planned burndown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Ideal points</c:v>
          </c:tx>
          <c:marker>
            <c:symbol val="none"/>
          </c:marker>
          <c:cat>
            <c:strRef>
              <c:f>'Sprint plan'!$A$12:$A$15</c:f>
              <c:strCache>
                <c:ptCount val="0"/>
              </c:strCache>
            </c:strRef>
          </c:cat>
          <c:val>
            <c:numRef>
              <c:f>'Sprint plan'!$B$12:$B$15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daily points</c:v>
          </c:tx>
          <c:marker>
            <c:symbol val="none"/>
          </c:marker>
          <c:cat>
            <c:strRef>
              <c:f>'Sprint plan'!$A$12:$A$15</c:f>
              <c:strCache>
                <c:ptCount val="0"/>
              </c:strCache>
            </c:strRef>
          </c:cat>
          <c:val>
            <c:numRef>
              <c:f>'Sprint plan'!$C$12:$C$15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Sprint 2 planned burndown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Ideal points</c:v>
          </c:tx>
          <c:marker>
            <c:symbol val="none"/>
          </c:marker>
          <c:cat>
            <c:strRef>
              <c:f>'Sprint plan'!$A$19:$A$22</c:f>
              <c:strCache>
                <c:ptCount val="0"/>
              </c:strCache>
            </c:strRef>
          </c:cat>
          <c:val>
            <c:numRef>
              <c:f>'Sprint plan'!$B$19:$B$22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daily points</c:v>
          </c:tx>
          <c:marker>
            <c:symbol val="none"/>
          </c:marker>
          <c:cat>
            <c:strRef>
              <c:f>'Sprint plan'!$A$19:$A$22</c:f>
              <c:strCache>
                <c:ptCount val="0"/>
              </c:strCache>
            </c:strRef>
          </c:cat>
          <c:val>
            <c:numRef>
              <c:f>'Sprint plan'!$C$19:$C$22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Sprint 3 planned burndown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Ideal points</c:v>
          </c:tx>
          <c:marker>
            <c:symbol val="none"/>
          </c:marker>
          <c:cat>
            <c:strRef>
              <c:f>'Sprint plan'!$A$26:$A$29</c:f>
              <c:strCache>
                <c:ptCount val="0"/>
              </c:strCache>
            </c:strRef>
          </c:cat>
          <c:val>
            <c:numRef>
              <c:f>'Sprint plan'!$B$26:$B$29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daily points</c:v>
          </c:tx>
          <c:marker>
            <c:symbol val="none"/>
          </c:marker>
          <c:cat>
            <c:strRef>
              <c:f>'Sprint plan'!$A$26:$A$29</c:f>
              <c:strCache>
                <c:ptCount val="0"/>
              </c:strCache>
            </c:strRef>
          </c:cat>
          <c:val>
            <c:numRef>
              <c:f>'Sprint plan'!$C$26:$C$29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Actual remaining work at observed checkpoints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Remaining points</c:v>
          </c:tx>
          <c:marker>
            <c:symbol val="none"/>
          </c:marker>
          <c:cat>
            <c:strRef>
              <c:f>'Actual checkpoints'!$B$6:$B$8</c:f>
              <c:strCache>
                <c:ptCount val="0"/>
              </c:strCache>
            </c:strRef>
          </c:cat>
          <c:val>
            <c:numRef>
              <c:f>'Actual checkpoints'!$C$6:$C$8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deb838e4c744b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70d883b624dfe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0b65c93504d5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0dd464b9194d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2ef6bba33f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1e7bd72970e49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2" t="str">
        <x:v>Market POS sprint plan</x:v>
      </x:c>
      <x:c r="B1" s="2"/>
      <x:c r="C1" s="2"/>
      <x:c r="D1" s="2"/>
      <x:c r="E1" s="2"/>
      <x:c r="F1" s="2"/>
      <x:c r="G1" s="2"/>
      <x:c r="H1" s="2"/>
      <x:c r="I1" s="1"/>
      <x:c r="J1" s="1"/>
    </x:row>
    <x:row r="2" ht="25" customHeight="1">
      <x:c r="A2" s="1" t="str">
        <x:v>Taoliyuan | Individual project | Deadline 24 November 2026 | Estimates are story points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11" t="str">
        <x:v>Sprint</x:v>
      </x:c>
      <x:c r="B4" s="11" t="str">
        <x:v>Start</x:v>
      </x:c>
      <x:c r="C4" s="11" t="str">
        <x:v>End</x:v>
      </x:c>
      <x:c r="D4" s="11" t="str">
        <x:v>Goal</x:v>
      </x:c>
      <x:c r="E4" s="11" t="str">
        <x:v>Planned points</x:v>
      </x:c>
      <x:c r="F4" s="11" t="str">
        <x:v>Open points</x:v>
      </x:c>
      <x:c r="G4" s="1"/>
      <x:c r="H4" s="1"/>
      <x:c r="I4" s="1"/>
      <x:c r="J4" s="1"/>
    </x:row>
    <x:row r="5" ht="25" customHeight="1">
      <x:c r="A5" s="12" t="n">
        <x:v>1</x:v>
      </x:c>
      <x:c r="B5" s="12" t="str">
        <x:v>2026-10-15</x:v>
      </x:c>
      <x:c r="C5" s="12" t="str">
        <x:v>2026-10-17</x:v>
      </x:c>
      <x:c r="D5" s="12" t="str">
        <x:v>Cash sale and stock</x:v>
      </x:c>
      <x:c r="E5" s="12" t="n">
        <x:f>SUMIF(Backlog!F6:F15,A5,Backlog!E6:E15)</x:f>
        <x:v>16</x:v>
      </x:c>
      <x:c r="F5" s="12" t="n">
        <x:f>SUMIFS(Backlog!E6:E15,Backlog!F6:F15,A5,Backlog!G6:G15,"&lt;&gt;Done")</x:f>
        <x:v>0</x:v>
      </x:c>
      <x:c r="G5" s="1"/>
      <x:c r="H5" s="1"/>
      <x:c r="I5" s="1"/>
      <x:c r="J5" s="1"/>
    </x:row>
    <x:row r="6" ht="25" customHeight="1">
      <x:c r="A6" s="12" t="n">
        <x:v>2</x:v>
      </x:c>
      <x:c r="B6" s="12" t="str">
        <x:v>2026-10-18</x:v>
      </x:c>
      <x:c r="C6" s="12" t="str">
        <x:v>2026-10-20</x:v>
      </x:c>
      <x:c r="D6" s="12" t="str">
        <x:v>Returns and history</x:v>
      </x:c>
      <x:c r="E6" s="12" t="n">
        <x:f>SUMIF(Backlog!F6:F15,A6,Backlog!E6:E15)</x:f>
        <x:v>15</x:v>
      </x:c>
      <x:c r="F6" s="12" t="n">
        <x:f>SUMIFS(Backlog!E6:E15,Backlog!F6:F15,A6,Backlog!G6:G15,"&lt;&gt;Done")</x:f>
        <x:v>0</x:v>
      </x:c>
      <x:c r="G6" s="1"/>
      <x:c r="H6" s="1"/>
      <x:c r="I6" s="1"/>
      <x:c r="J6" s="1"/>
    </x:row>
    <x:row r="7" ht="25" customHeight="1">
      <x:c r="A7" s="12" t="n">
        <x:v>3</x:v>
      </x:c>
      <x:c r="B7" s="12" t="str">
        <x:v>2026-10-21</x:v>
      </x:c>
      <x:c r="C7" s="12" t="str">
        <x:v>2026-10-23</x:v>
      </x:c>
      <x:c r="D7" s="12" t="str">
        <x:v>Documentation and delivery</x:v>
      </x:c>
      <x:c r="E7" s="12" t="n">
        <x:f>SUMIF(Backlog!F6:F15,A7,Backlog!E6:E15)</x:f>
        <x:v>8</x:v>
      </x:c>
      <x:c r="F7" s="12" t="n">
        <x:f>SUMIFS(Backlog!E6:E15,Backlog!F6:F15,A7,Backlog!G6:G15,"&lt;&gt;Done")</x:f>
        <x:v>3</x:v>
      </x:c>
      <x:c r="G7" s="1"/>
      <x:c r="H7" s="1"/>
      <x:c r="I7" s="1"/>
      <x:c r="J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 t="str">
        <x:v>Ideal daily burndown below is a plan. Actual completion evidence is on Actual checkpoints.</x:v>
      </x:c>
      <x:c r="B9" s="1"/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30" customHeight="1">
      <x:c r="A11" s="5" t="str">
        <x:v>Sprint 1 day</x:v>
      </x:c>
      <x:c r="B11" s="5" t="str">
        <x:v>Ideal points</x:v>
      </x:c>
      <x:c r="C11" s="5" t="str">
        <x:v>Actual daily points</x:v>
      </x:c>
      <x:c r="D11" s="1"/>
      <x:c r="E11" s="1"/>
      <x:c r="F11" s="1"/>
      <x:c r="G11" s="1"/>
      <x:c r="H11" s="1"/>
      <x:c r="I11" s="1"/>
      <x:c r="J11" s="1"/>
    </x:row>
    <x:row r="12" ht="25" customHeight="1">
      <x:c r="A12" s="1" t="n">
        <x:v>0</x:v>
      </x:c>
      <x:c r="B12" s="16" t="n">
        <x:f>$E$5*(1-A12/3)</x:f>
        <x:v>16</x:v>
      </x:c>
      <x:c r="C12" s="16" t="n">
        <x:f>$E$5</x:f>
        <x:v>16</x:v>
      </x:c>
      <x:c r="D12" s="1"/>
      <x:c r="E12" s="1"/>
      <x:c r="F12" s="1"/>
      <x:c r="G12" s="1"/>
      <x:c r="H12" s="1"/>
      <x:c r="I12" s="1"/>
      <x:c r="J12" s="1"/>
    </x:row>
    <x:row r="13" ht="25" customHeight="1">
      <x:c r="A13" s="1" t="n">
        <x:v>1</x:v>
      </x:c>
      <x:c r="B13" s="16" t="n">
        <x:f>$E$5*(1-A13/3)</x:f>
        <x:v>10.666666666666668</x:v>
      </x:c>
      <x:c r="C13" s="16"/>
      <x:c r="D13" s="1"/>
      <x:c r="E13" s="1"/>
      <x:c r="F13" s="1"/>
      <x:c r="G13" s="1"/>
      <x:c r="H13" s="1"/>
      <x:c r="I13" s="1"/>
      <x:c r="J13" s="1"/>
    </x:row>
    <x:row r="14" ht="25" customHeight="1">
      <x:c r="A14" s="1" t="n">
        <x:v>2</x:v>
      </x:c>
      <x:c r="B14" s="16" t="n">
        <x:f>$E$5*(1-A14/3)</x:f>
        <x:v>5.333333333333334</x:v>
      </x:c>
      <x:c r="C14" s="16"/>
      <x:c r="D14" s="1"/>
      <x:c r="E14" s="1"/>
      <x:c r="F14" s="1"/>
      <x:c r="G14" s="1"/>
      <x:c r="H14" s="1"/>
      <x:c r="I14" s="1"/>
      <x:c r="J14" s="1"/>
    </x:row>
    <x:row r="15" ht="25" customHeight="1">
      <x:c r="A15" s="1" t="n">
        <x:v>3</x:v>
      </x:c>
      <x:c r="B15" s="16" t="n">
        <x:f>$E$5*(1-A15/3)</x:f>
        <x:v>0</x:v>
      </x:c>
      <x:c r="C15" s="16"/>
      <x:c r="D15" s="1"/>
      <x:c r="E15" s="1"/>
      <x:c r="F15" s="1"/>
      <x:c r="G15" s="1"/>
      <x:c r="H15" s="1"/>
      <x:c r="I15" s="1"/>
      <x:c r="J15" s="1"/>
    </x:row>
    <x:row r="16" ht="25" customHeight="1">
      <x:c r="A16" s="1"/>
      <x:c r="B16" s="16"/>
      <x:c r="C16" s="16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6"/>
      <x:c r="C17" s="16"/>
      <x:c r="D17" s="1"/>
      <x:c r="E17" s="1"/>
      <x:c r="F17" s="1"/>
      <x:c r="G17" s="1"/>
      <x:c r="H17" s="1"/>
      <x:c r="I17" s="1"/>
      <x:c r="J17" s="1"/>
    </x:row>
    <x:row r="18" ht="30" customHeight="1">
      <x:c r="A18" s="5" t="str">
        <x:v>Sprint 2 day</x:v>
      </x:c>
      <x:c r="B18" s="17" t="str">
        <x:v>Ideal points</x:v>
      </x:c>
      <x:c r="C18" s="17" t="str">
        <x:v>Actual daily points</x:v>
      </x:c>
      <x:c r="D18" s="1"/>
      <x:c r="E18" s="1"/>
      <x:c r="F18" s="1"/>
      <x:c r="G18" s="1"/>
      <x:c r="H18" s="1"/>
      <x:c r="I18" s="1"/>
      <x:c r="J18" s="1"/>
    </x:row>
    <x:row r="19" ht="25" customHeight="1">
      <x:c r="A19" s="1" t="n">
        <x:v>0</x:v>
      </x:c>
      <x:c r="B19" s="16" t="n">
        <x:f>$E$6*(1-A19/3)</x:f>
        <x:v>15</x:v>
      </x:c>
      <x:c r="C19" s="16" t="n">
        <x:f>$E$6</x:f>
        <x:v>15</x:v>
      </x:c>
      <x:c r="D19" s="1"/>
      <x:c r="E19" s="1"/>
      <x:c r="F19" s="1"/>
      <x:c r="G19" s="1"/>
      <x:c r="H19" s="1"/>
      <x:c r="I19" s="1"/>
      <x:c r="J19" s="1"/>
    </x:row>
    <x:row r="20" ht="25" customHeight="1">
      <x:c r="A20" s="1" t="n">
        <x:v>1</x:v>
      </x:c>
      <x:c r="B20" s="16" t="n">
        <x:f>$E$6*(1-A20/3)</x:f>
        <x:v>10.000000000000002</x:v>
      </x:c>
      <x:c r="C20" s="16"/>
      <x:c r="D20" s="1"/>
      <x:c r="E20" s="1"/>
      <x:c r="F20" s="1"/>
      <x:c r="G20" s="1"/>
      <x:c r="H20" s="1"/>
      <x:c r="I20" s="1"/>
      <x:c r="J20" s="1"/>
    </x:row>
    <x:row r="21" ht="25" customHeight="1">
      <x:c r="A21" s="1" t="n">
        <x:v>2</x:v>
      </x:c>
      <x:c r="B21" s="16" t="n">
        <x:f>$E$6*(1-A21/3)</x:f>
        <x:v>5.000000000000001</x:v>
      </x:c>
      <x:c r="C21" s="16"/>
      <x:c r="D21" s="1"/>
      <x:c r="E21" s="1"/>
      <x:c r="F21" s="1"/>
      <x:c r="G21" s="1"/>
      <x:c r="H21" s="1"/>
      <x:c r="I21" s="1"/>
      <x:c r="J21" s="1"/>
    </x:row>
    <x:row r="22" ht="25" customHeight="1">
      <x:c r="A22" s="1" t="n">
        <x:v>3</x:v>
      </x:c>
      <x:c r="B22" s="16" t="n">
        <x:f>$E$6*(1-A22/3)</x:f>
        <x:v>0</x:v>
      </x:c>
      <x:c r="C22" s="16"/>
      <x:c r="D22" s="1"/>
      <x:c r="E22" s="1"/>
      <x:c r="F22" s="1"/>
      <x:c r="G22" s="1"/>
      <x:c r="H22" s="1"/>
      <x:c r="I22" s="1"/>
      <x:c r="J22" s="1"/>
    </x:row>
    <x:row r="23" ht="25" customHeight="1">
      <x:c r="A23" s="1"/>
      <x:c r="B23" s="16"/>
      <x:c r="C23" s="16"/>
      <x:c r="D23" s="1"/>
      <x:c r="E23" s="1"/>
      <x:c r="F23" s="1"/>
      <x:c r="G23" s="1"/>
      <x:c r="H23" s="1"/>
      <x:c r="I23" s="1"/>
      <x:c r="J23" s="1"/>
    </x:row>
    <x:row r="24" ht="25" customHeight="1">
      <x:c r="A24" s="1"/>
      <x:c r="B24" s="16"/>
      <x:c r="C24" s="16"/>
      <x:c r="D24" s="1"/>
      <x:c r="E24" s="1"/>
      <x:c r="F24" s="1"/>
      <x:c r="G24" s="1"/>
      <x:c r="H24" s="1"/>
      <x:c r="I24" s="1"/>
      <x:c r="J24" s="1"/>
    </x:row>
    <x:row r="25" ht="30" customHeight="1">
      <x:c r="A25" s="5" t="str">
        <x:v>Sprint 3 day</x:v>
      </x:c>
      <x:c r="B25" s="17" t="str">
        <x:v>Ideal points</x:v>
      </x:c>
      <x:c r="C25" s="17" t="str">
        <x:v>Actual daily points</x:v>
      </x:c>
      <x:c r="D25" s="1"/>
      <x:c r="E25" s="1"/>
      <x:c r="F25" s="1"/>
      <x:c r="G25" s="1"/>
      <x:c r="H25" s="1"/>
      <x:c r="I25" s="1"/>
      <x:c r="J25" s="1"/>
    </x:row>
    <x:row r="26" ht="25" customHeight="1">
      <x:c r="A26" s="1" t="n">
        <x:v>0</x:v>
      </x:c>
      <x:c r="B26" s="16" t="n">
        <x:f>$E$7*(1-A26/3)</x:f>
        <x:v>8</x:v>
      </x:c>
      <x:c r="C26" s="16" t="n">
        <x:f>$E$7</x:f>
        <x:v>8</x:v>
      </x:c>
      <x:c r="D26" s="1"/>
      <x:c r="E26" s="1"/>
      <x:c r="F26" s="1"/>
      <x:c r="G26" s="1"/>
      <x:c r="H26" s="1"/>
      <x:c r="I26" s="1"/>
      <x:c r="J26" s="1"/>
    </x:row>
    <x:row r="27" ht="25" customHeight="1">
      <x:c r="A27" s="1" t="n">
        <x:v>1</x:v>
      </x:c>
      <x:c r="B27" s="16" t="n">
        <x:f>$E$7*(1-A27/3)</x:f>
        <x:v>5.333333333333334</x:v>
      </x:c>
      <x:c r="C27" s="16"/>
      <x:c r="D27" s="1"/>
      <x:c r="E27" s="1"/>
      <x:c r="F27" s="1"/>
      <x:c r="G27" s="1"/>
      <x:c r="H27" s="1"/>
      <x:c r="I27" s="1"/>
      <x:c r="J27" s="1"/>
    </x:row>
    <x:row r="28" ht="25" customHeight="1">
      <x:c r="A28" s="1" t="n">
        <x:v>2</x:v>
      </x:c>
      <x:c r="B28" s="16" t="n">
        <x:f>$E$7*(1-A28/3)</x:f>
        <x:v>2.666666666666667</x:v>
      </x:c>
      <x:c r="C28" s="16"/>
      <x:c r="D28" s="1"/>
      <x:c r="E28" s="1"/>
      <x:c r="F28" s="1"/>
      <x:c r="G28" s="1"/>
      <x:c r="H28" s="1"/>
      <x:c r="I28" s="1"/>
      <x:c r="J28" s="1"/>
    </x:row>
    <x:row r="29" ht="25" customHeight="1">
      <x:c r="A29" s="1" t="n">
        <x:v>3</x:v>
      </x:c>
      <x:c r="B29" s="16" t="n">
        <x:f>$E$7*(1-A29/3)</x:f>
        <x:v>0</x:v>
      </x:c>
      <x:c r="C29" s="16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5" customHeight="1">
      <x:c r="A33" s="6" t="str">
        <x:v>Daily actual cells are intentionally blank after the baseline. Do not infer daily progress from same-day checkpoints. Update them only after observing the corresponding day. Planned sprint dates remain timeboxes even when implementation completes early.</x:v>
      </x:c>
      <x:c r="B33" s="6"/>
      <x:c r="C33" s="6"/>
      <x:c r="D33" s="6"/>
      <x:c r="E33" s="6"/>
      <x:c r="F33" s="6"/>
      <x:c r="G33" s="6"/>
      <x:c r="H33" s="6"/>
      <x:c r="I33" s="6"/>
      <x:c r="J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</x:sheetData>
  <x:mergeCells>
    <x:mergeCell ref="A1:H1"/>
    <x:mergeCell ref="A2:H2"/>
    <x:mergeCell ref="A9:H9"/>
    <x:mergeCell ref="A33:J34"/>
  </x:mergeCells>
  <x:pageMargins left="0.7" right="0.7" top="0.75" bottom="0.75" header="0.3" footer="0.3"/>
  <x:drawing xmlns:r="http://schemas.openxmlformats.org/officeDocument/2006/relationships" r:id="R8c2ef6bba33f40a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58" hidden="0" customWidth="1"/>
    <x:col min="4" max="4" width="12" hidden="0" customWidth="1"/>
    <x:col min="5" max="5" width="10" hidden="0" customWidth="1"/>
    <x:col min="6" max="6" width="10" hidden="0" customWidth="1"/>
    <x:col min="7" max="7" width="17" hidden="0" customWidth="1"/>
    <x:col min="8" max="8" width="62" hidden="0" customWidth="1"/>
    <x:col min="9" max="9" width="42" hidden="0" customWidth="1"/>
    <x:col min="10" max="10" width="18" hidden="0" customWidth="1"/>
  </x:cols>
  <x:sheetData>
    <x:row r="1" ht="36" customHeight="1">
      <x:c r="A1" s="2" t="str">
        <x:v>Product backlog and acceptance criteria</x:v>
      </x:c>
      <x:c r="B1" s="2"/>
      <x:c r="C1" s="2"/>
      <x:c r="D1" s="2"/>
      <x:c r="E1" s="2"/>
      <x:c r="F1" s="2"/>
      <x:c r="G1" s="2"/>
      <x:c r="H1" s="2"/>
      <x:c r="I1" s="2"/>
      <x:c r="J1" s="1"/>
    </x:row>
    <x:row r="2" ht="25" customHeight="1">
      <x:c r="A2" s="1" t="str">
        <x:v>Source: supplied Software Engineering Practice Assignment; implementation and verification on 15 October 2026.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1" t="str">
        <x:v>ID</x:v>
      </x:c>
      <x:c r="B5" s="11" t="str">
        <x:v>Epic</x:v>
      </x:c>
      <x:c r="C5" s="11" t="str">
        <x:v>User story</x:v>
      </x:c>
      <x:c r="D5" s="11" t="str">
        <x:v>Priority</x:v>
      </x:c>
      <x:c r="E5" s="11" t="str">
        <x:v>Points</x:v>
      </x:c>
      <x:c r="F5" s="11" t="str">
        <x:v>Sprint</x:v>
      </x:c>
      <x:c r="G5" s="11" t="str">
        <x:v>Status</x:v>
      </x:c>
      <x:c r="H5" s="11" t="str">
        <x:v>Acceptance criteria</x:v>
      </x:c>
      <x:c r="I5" s="11" t="str">
        <x:v>Evidence</x:v>
      </x:c>
      <x:c r="J5" s="1"/>
    </x:row>
    <x:row r="6" ht="88" customHeight="1">
      <x:c r="A6" s="13" t="str">
        <x:v>US01</x:v>
      </x:c>
      <x:c r="B6" s="13" t="str">
        <x:v>Sale</x:v>
      </x:c>
      <x:c r="C6" s="13" t="str">
        <x:v>As a cashier, I want to find products and edit quantities so that I can build an accurate basket.</x:v>
      </x:c>
      <x:c r="D6" s="13" t="str">
        <x:v>Must</x:v>
      </x:c>
      <x:c r="E6" s="14" t="n">
        <x:v>3</x:v>
      </x:c>
      <x:c r="F6" s="14" t="n">
        <x:v>1</x:v>
      </x:c>
      <x:c r="G6" s="13" t="str">
        <x:v>Done</x:v>
      </x:c>
      <x:c r="H6" s="13" t="str">
        <x:v>Two milk units and one bread show EUR 8.20.</x:v>
      </x:c>
      <x:c r="I6" s="13" t="str">
        <x:v>Browser checkout screenshot</x:v>
      </x:c>
      <x:c r="J6" s="1"/>
    </x:row>
    <x:row r="7" ht="88" customHeight="1">
      <x:c r="A7" s="13" t="str">
        <x:v>US02</x:v>
      </x:c>
      <x:c r="B7" s="13" t="str">
        <x:v>Sale</x:v>
      </x:c>
      <x:c r="C7" s="13" t="str">
        <x:v>As a cashier, I want to accept cash and calculate change so that I can complete a sale.</x:v>
      </x:c>
      <x:c r="D7" s="13" t="str">
        <x:v>Must</x:v>
      </x:c>
      <x:c r="E7" s="14" t="n">
        <x:v>5</x:v>
      </x:c>
      <x:c r="F7" s="14" t="n">
        <x:v>1</x:v>
      </x:c>
      <x:c r="G7" s="13" t="str">
        <x:v>Done</x:v>
      </x:c>
      <x:c r="H7" s="13" t="str">
        <x:v>EUR 10.00 tendered for EUR 8.20 yields EUR 1.80 change. Insufficient cash fails.</x:v>
      </x:c>
      <x:c r="I7" s="13" t="str">
        <x:v>Cash sale and rollback tests</x:v>
      </x:c>
      <x:c r="J7" s="1"/>
    </x:row>
    <x:row r="8" ht="88" customHeight="1">
      <x:c r="A8" s="13" t="str">
        <x:v>US03</x:v>
      </x:c>
      <x:c r="B8" s="13" t="str">
        <x:v>Sale</x:v>
      </x:c>
      <x:c r="C8" s="13" t="str">
        <x:v>As a cashier, I want a stored receipt so that I can identify a completed sale.</x:v>
      </x:c>
      <x:c r="D8" s="13" t="str">
        <x:v>Must</x:v>
      </x:c>
      <x:c r="E8" s="14" t="n">
        <x:v>3</x:v>
      </x:c>
      <x:c r="F8" s="14" t="n">
        <x:v>1</x:v>
      </x:c>
      <x:c r="G8" s="13" t="str">
        <x:v>Done</x:v>
      </x:c>
      <x:c r="H8" s="13" t="str">
        <x:v>Receipt contains a unique ID, original prices, quantities, total and payment.</x:v>
      </x:c>
      <x:c r="I8" s="13" t="str">
        <x:v>Receipt and restart tests</x:v>
      </x:c>
      <x:c r="J8" s="1"/>
    </x:row>
    <x:row r="9" ht="88" customHeight="1">
      <x:c r="A9" s="13" t="str">
        <x:v>US04</x:v>
      </x:c>
      <x:c r="B9" s="13" t="str">
        <x:v>Inventory</x:v>
      </x:c>
      <x:c r="C9" s="13" t="str">
        <x:v>As a store operator, I want stock updated atomically so that quantities stay consistent.</x:v>
      </x:c>
      <x:c r="D9" s="13" t="str">
        <x:v>Must</x:v>
      </x:c>
      <x:c r="E9" s="14" t="n">
        <x:v>5</x:v>
      </x:c>
      <x:c r="F9" s="14" t="n">
        <x:v>1</x:v>
      </x:c>
      <x:c r="G9" s="13" t="str">
        <x:v>Done</x:v>
      </x:c>
      <x:c r="H9" s="13" t="str">
        <x:v>Sales reduce stock. Rejected and concurrent excess sales cannot overdraw stock.</x:v>
      </x:c>
      <x:c r="I9" s="13" t="str">
        <x:v>Atomicity and concurrency tests</x:v>
      </x:c>
      <x:c r="J9" s="1"/>
    </x:row>
    <x:row r="10" ht="88" customHeight="1">
      <x:c r="A10" s="13" t="str">
        <x:v>US05</x:v>
      </x:c>
      <x:c r="B10" s="13" t="str">
        <x:v>Return</x:v>
      </x:c>
      <x:c r="C10" s="13" t="str">
        <x:v>As a cashier, I want to retrieve a receipt so that I can check return eligibility.</x:v>
      </x:c>
      <x:c r="D10" s="13" t="str">
        <x:v>Must</x:v>
      </x:c>
      <x:c r="E10" s="14" t="n">
        <x:v>3</x:v>
      </x:c>
      <x:c r="F10" s="14" t="n">
        <x:v>2</x:v>
      </x:c>
      <x:c r="G10" s="13" t="str">
        <x:v>Done</x:v>
      </x:c>
      <x:c r="H10" s="13" t="str">
        <x:v>Lookup shows purchased, already returned and remaining quantities.</x:v>
      </x:c>
      <x:c r="I10" s="13" t="str">
        <x:v>Return lookup and missing receipt tests</x:v>
      </x:c>
      <x:c r="J10" s="1"/>
    </x:row>
    <x:row r="11" ht="88" customHeight="1">
      <x:c r="A11" s="13" t="str">
        <x:v>US06</x:v>
      </x:c>
      <x:c r="B11" s="13" t="str">
        <x:v>Return</x:v>
      </x:c>
      <x:c r="C11" s="13" t="str">
        <x:v>As a cashier, I want partial cash refunds so that customers can return selected items.</x:v>
      </x:c>
      <x:c r="D11" s="13" t="str">
        <x:v>Must</x:v>
      </x:c>
      <x:c r="E11" s="14" t="n">
        <x:v>5</x:v>
      </x:c>
      <x:c r="F11" s="14" t="n">
        <x:v>2</x:v>
      </x:c>
      <x:c r="G11" s="13" t="str">
        <x:v>Done</x:v>
      </x:c>
      <x:c r="H11" s="13" t="str">
        <x:v>One milk unit refunds EUR 2.50 using the original price and restores one unit.</x:v>
      </x:c>
      <x:c r="I11" s="13" t="str">
        <x:v>Partial return and original price tests</x:v>
      </x:c>
      <x:c r="J11" s="1"/>
    </x:row>
    <x:row r="12" ht="88" customHeight="1">
      <x:c r="A12" s="13" t="str">
        <x:v>US07</x:v>
      </x:c>
      <x:c r="B12" s="13" t="str">
        <x:v>Return</x:v>
      </x:c>
      <x:c r="C12" s="13" t="str">
        <x:v>As a store operator, I want excess and repeated refunds prevented so that cash is protected.</x:v>
      </x:c>
      <x:c r="D12" s="13" t="str">
        <x:v>Must</x:v>
      </x:c>
      <x:c r="E12" s="14" t="n">
        <x:v>5</x:v>
      </x:c>
      <x:c r="F12" s="14" t="n">
        <x:v>2</x:v>
      </x:c>
      <x:c r="G12" s="13" t="str">
        <x:v>Done</x:v>
      </x:c>
      <x:c r="H12" s="13" t="str">
        <x:v>Retries have one effect. Cumulative returns never exceed quantities sold.</x:v>
      </x:c>
      <x:c r="I12" s="13" t="str">
        <x:v>Idempotency and concurrent return tests</x:v>
      </x:c>
      <x:c r="J12" s="1"/>
    </x:row>
    <x:row r="13" ht="88" customHeight="1">
      <x:c r="A13" s="13" t="str">
        <x:v>US08</x:v>
      </x:c>
      <x:c r="B13" s="13" t="str">
        <x:v>History</x:v>
      </x:c>
      <x:c r="C13" s="13" t="str">
        <x:v>As a store operator, I want transaction history so that I can reconcile net sales.</x:v>
      </x:c>
      <x:c r="D13" s="13" t="str">
        <x:v>Should</x:v>
      </x:c>
      <x:c r="E13" s="14" t="n">
        <x:v>2</x:v>
      </x:c>
      <x:c r="F13" s="14" t="n">
        <x:v>2</x:v>
      </x:c>
      <x:c r="G13" s="13" t="str">
        <x:v>Done</x:v>
      </x:c>
      <x:c r="H13" s="13" t="str">
        <x:v>EUR 8.20 sales less EUR 2.50 refunds gives EUR 5.70 net.</x:v>
      </x:c>
      <x:c r="I13" s="13" t="str">
        <x:v>Browser history and net total test</x:v>
      </x:c>
      <x:c r="J13" s="1"/>
    </x:row>
    <x:row r="14" ht="88" customHeight="1">
      <x:c r="A14" s="13" t="str">
        <x:v>US09</x:v>
      </x:c>
      <x:c r="B14" s="13" t="str">
        <x:v>Documentation</x:v>
      </x:c>
      <x:c r="C14" s="13" t="str">
        <x:v>As an assessor, I want analysis, design and verification evidence so that I can trace the solution.</x:v>
      </x:c>
      <x:c r="D14" s="13" t="str">
        <x:v>Must</x:v>
      </x:c>
      <x:c r="E14" s="14" t="n">
        <x:v>5</x:v>
      </x:c>
      <x:c r="F14" s="14" t="n">
        <x:v>3</x:v>
      </x:c>
      <x:c r="G14" s="13" t="str">
        <x:v>Done</x:v>
      </x:c>
      <x:c r="H14" s="13" t="str">
        <x:v>Both use cases, UML models, report, workbook and presentation are readable and consistent.</x:v>
      </x:c>
      <x:c r="I14" s="13" t="str">
        <x:v>Report, UML, workbook and 12-slide presentation reviewed</x:v>
      </x:c>
      <x:c r="J14" s="1"/>
    </x:row>
    <x:row r="15" ht="88" customHeight="1">
      <x:c r="A15" s="13" t="str">
        <x:v>US10</x:v>
      </x:c>
      <x:c r="B15" s="13" t="str">
        <x:v>Delivery</x:v>
      </x:c>
      <x:c r="C15" s="13" t="str">
        <x:v>As an assessor, I want the source repository and demonstration video so that I can inspect and run the project.</x:v>
      </x:c>
      <x:c r="D15" s="13" t="str">
        <x:v>Must</x:v>
      </x:c>
      <x:c r="E15" s="14" t="n">
        <x:v>3</x:v>
      </x:c>
      <x:c r="F15" s="14" t="n">
        <x:v>3</x:v>
      </x:c>
      <x:c r="G15" s="13" t="str">
        <x:v>Open</x:v>
      </x:c>
      <x:c r="H15" s="13" t="str">
        <x:v>Both branches are available remotely and a published English presentation video is linked.</x:v>
      </x:c>
      <x:c r="I15" s="13" t="str">
        <x:v>Requires repository push, student recording and upload</x:v>
      </x:c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 t="str">
        <x:v>Total points</x:v>
      </x:c>
      <x:c r="B17" s="1"/>
      <x:c r="C17" s="1"/>
      <x:c r="D17" s="1" t="n">
        <x:f>SUM(E6:E15)</x:f>
        <x:v>39</x:v>
      </x:c>
      <x:c r="E17" s="1" t="str">
        <x:v>Remaining points</x:v>
      </x:c>
      <x:c r="F17" s="1"/>
      <x:c r="G17" s="1"/>
      <x:c r="H17" s="1"/>
      <x:c r="I17" s="1" t="n">
        <x:f>SUMIF(G6:G15,"&lt;&gt;Done",E6:E15)</x:f>
        <x:v>3</x:v>
      </x:c>
      <x:c r="J17" s="1"/>
    </x:row>
    <x:row r="18" ht="25" customHeight="1">
      <x:c r="A18" s="1" t="str">
        <x:v>Completed points</x:v>
      </x:c>
      <x:c r="B18" s="1"/>
      <x:c r="C18" s="1"/>
      <x:c r="D18" s="1" t="n">
        <x:f>D17-I17</x:f>
        <x:v>36</x:v>
      </x:c>
      <x:c r="E18" s="1" t="str">
        <x:v>Completion</x:v>
      </x:c>
      <x:c r="F18" s="1"/>
      <x:c r="G18" s="1"/>
      <x:c r="H18" s="1"/>
      <x:c r="I18" s="8" t="n">
        <x:f>D18/D17</x:f>
        <x:v>0.9230769230769231</x:v>
      </x:c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</x:sheetData>
  <x:mergeCells>
    <x:mergeCell ref="A1:I1"/>
    <x:mergeCell ref="A2:I2"/>
    <x:mergeCell ref="A17:C17"/>
    <x:mergeCell ref="A18:C18"/>
    <x:mergeCell ref="E17:H17"/>
    <x:mergeCell ref="E18:H18"/>
  </x:mergeCells>
  <x:dataValidations count="1">
    <x:dataValidation type="list" sqref="G6:G15">
      <x:formula1>"Open,In progress,Done"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7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2" t="str">
        <x:v>Observed implementation checkpoints</x:v>
      </x:c>
      <x:c r="B1" s="2"/>
      <x:c r="C1" s="2"/>
      <x:c r="D1" s="2"/>
      <x:c r="E1" s="2"/>
      <x:c r="F1" s="2"/>
      <x:c r="G1" s="2"/>
      <x:c r="H1" s="2"/>
      <x:c r="I1" s="1"/>
      <x:c r="J1" s="1"/>
    </x:row>
    <x:row r="2" ht="25" customHeight="1">
      <x:c r="A2" s="6" t="str">
        <x:v>Actual timestamps use Asia/Shanghai. These are evidence checkpoints, not simulated daily sprint results. Points burn only after verification. Publication and student recording remain open.</x:v>
      </x:c>
      <x:c r="B2" s="6"/>
      <x:c r="C2" s="6"/>
      <x:c r="D2" s="6"/>
      <x:c r="E2" s="6"/>
      <x:c r="F2" s="6"/>
      <x:c r="G2" s="6"/>
      <x:c r="H2" s="6"/>
      <x:c r="I2" s="1"/>
      <x:c r="J2" s="1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1" t="str">
        <x:v>Observed time</x:v>
      </x:c>
      <x:c r="B5" s="11" t="str">
        <x:v>Checkpoint</x:v>
      </x:c>
      <x:c r="C5" s="11" t="str">
        <x:v>Remaining points</x:v>
      </x:c>
      <x:c r="D5" s="11" t="str">
        <x:v>Commit</x:v>
      </x:c>
      <x:c r="E5" s="11" t="str">
        <x:v>Evidence</x:v>
      </x:c>
      <x:c r="F5" s="1"/>
      <x:c r="G5" s="1"/>
      <x:c r="H5" s="1"/>
      <x:c r="I5" s="1"/>
      <x:c r="J5" s="1"/>
    </x:row>
    <x:row r="6" ht="46" customHeight="1">
      <x:c r="A6" s="15" t="str">
        <x:v>2026-10-15 22:02</x:v>
      </x:c>
      <x:c r="B6" s="15" t="str">
        <x:v>Plan baseline</x:v>
      </x:c>
      <x:c r="C6" s="15" t="n">
        <x:v>39</x:v>
      </x:c>
      <x:c r="D6" s="15" t="str">
        <x:v>f2811d3</x:v>
      </x:c>
      <x:c r="E6" s="15" t="str">
        <x:v>Acceptance criteria established; no verified story completion</x:v>
      </x:c>
      <x:c r="F6" s="1"/>
      <x:c r="G6" s="1"/>
      <x:c r="H6" s="1"/>
      <x:c r="I6" s="1"/>
      <x:c r="J6" s="1"/>
    </x:row>
    <x:row r="7" ht="46" customHeight="1">
      <x:c r="A7" s="15" t="str">
        <x:v>2026-10-15 22:02</x:v>
      </x:c>
      <x:c r="B7" s="15" t="str">
        <x:v>Implementation</x:v>
      </x:c>
      <x:c r="C7" s="15" t="n">
        <x:v>39</x:v>
      </x:c>
      <x:c r="D7" s="15" t="str">
        <x:v>b44e312</x:v>
      </x:c>
      <x:c r="E7" s="15" t="str">
        <x:v>Features implemented; acceptance not yet verified</x:v>
      </x:c>
      <x:c r="F7" s="1"/>
      <x:c r="G7" s="1"/>
      <x:c r="H7" s="1"/>
      <x:c r="I7" s="1"/>
      <x:c r="J7" s="1"/>
    </x:row>
    <x:row r="8" ht="46" customHeight="1">
      <x:c r="A8" s="15" t="str">
        <x:v>2026-10-15 22:08</x:v>
      </x:c>
      <x:c r="B8" s="15" t="str">
        <x:v>Verification</x:v>
      </x:c>
      <x:c r="C8" s="15" t="n">
        <x:v>8</x:v>
      </x:c>
      <x:c r="D8" s="15" t="str">
        <x:v>314bd47</x:v>
      </x:c>
      <x:c r="E8" s="15" t="str">
        <x:v>US01-US08 verified with 22 tests and browser walkthrough</x:v>
      </x:c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</x:sheetData>
  <x:mergeCells>
    <x:mergeCell ref="A1:H1"/>
    <x:mergeCell ref="A2:H3"/>
  </x:mergeCells>
  <x:pageMargins left="0.7" right="0.7" top="0.75" bottom="0.75" header="0.3" footer="0.3"/>
  <x:drawing xmlns:r="http://schemas.openxmlformats.org/officeDocument/2006/relationships" r:id="R61e7bd72970e4918"/>
</x:worksheet>
</file>